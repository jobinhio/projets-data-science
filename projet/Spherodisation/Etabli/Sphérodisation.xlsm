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3" i="2" l="1"/>
  <c r="I3" i="2"/>
</calcChain>
</file>

<file path=xl/sharedStrings.xml><?xml version="1.0" encoding="utf-8"?>
<sst xmlns="http://schemas.openxmlformats.org/spreadsheetml/2006/main" count="33" uniqueCount="33">
  <si>
    <t>Masse métrique de magnésium dans le fil fourré (en g/m)</t>
  </si>
  <si>
    <t xml:space="preserve">Masse de la fonte dans  la poche de traitement (en Kg) </t>
  </si>
  <si>
    <t>Rendement en magnésium de l'opération (en %)</t>
  </si>
  <si>
    <t xml:space="preserve"> Température de la fonte dans la poche au moment du traitement  GS (en °C)</t>
  </si>
  <si>
    <t>Masse des grappes (kg)</t>
  </si>
  <si>
    <t>Nombre de Moules par heure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</si>
  <si>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</si>
  <si>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</si>
  <si>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</si>
  <si>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</si>
  <si>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</si>
  <si>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</si>
  <si>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Longueur théorique du fil fourré à utiliser (en m)</t>
  </si>
  <si>
    <t>Pourcentage de magnésium maximal dans  le four de coulée (en %)</t>
  </si>
  <si>
    <t>Pourcentage de magnésium minimal dans  le four de coulée (en %)</t>
  </si>
  <si>
    <t xml:space="preserve">Masse maximal de la fonte dans le four de coulée (en Kg) </t>
  </si>
  <si>
    <t xml:space="preserve">Masse minimal de la fonte dans le four de coulée (en Kg) </t>
  </si>
  <si>
    <t xml:space="preserve">Masse de la fonte dans le four de coulée au moment du calcul(en Kg) </t>
  </si>
  <si>
    <t>Pourcentage de magnésium dans le four de coulée au moment du calcul (%)</t>
  </si>
  <si>
    <t>Pourcentage de magnésium dans le four de coulée au moment de l'ajout de la poche (%)</t>
  </si>
  <si>
    <t>Pourcentage de magnésium dans le four de coulée après  l'ajout de la poche (%)</t>
  </si>
  <si>
    <t>Masse de la fonte dans le four de coulée  après l'ajout de la poche (en Kg)</t>
  </si>
  <si>
    <t>Paramètres du fours de fusion</t>
  </si>
  <si>
    <t>Paramètres du fours de coulée</t>
  </si>
  <si>
    <t>Pourcentage de perte de magnésium par minute dans le four de coulée (en %)</t>
  </si>
  <si>
    <t>Heure de lancement traitement</t>
  </si>
  <si>
    <t>Heure de lancement du prochain traitement</t>
  </si>
  <si>
    <t>0.045</t>
  </si>
  <si>
    <t>Masse de la fonte dans le four de coulée au moment de l'ajout de la poche (en Kg)</t>
  </si>
  <si>
    <t>Paramètres généraux du traitement GS</t>
  </si>
  <si>
    <t>Temps restant avant le lancement du prochain traitement (en seconde)</t>
  </si>
  <si>
    <t>Taux de souffre de la fonte dans la poche au moment traitement GS (en %)</t>
  </si>
  <si>
    <t>8 hr 48 min 2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</si>
</sst>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" fontId="1" fillId="3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0" xfId="0" applyNumberForma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30"/>
  <sheetViews>
    <sheetView tabSelected="1" workbookViewId="0">
      <selection activeCell="I6" sqref="I6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5.140625" customWidth="1"/>
    <col min="5" max="5" width="16.5703125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2" ht="30" customHeight="1" x14ac:dyDescent="0.25">
      <c r="A1" s="29" t="s">
        <v>29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11"/>
    </row>
    <row r="2" spans="1:12" ht="81" customHeight="1" x14ac:dyDescent="0.25">
      <c r="A2" s="3" t="s">
        <v>2</v>
      </c>
      <c r="B2" s="3" t="s">
        <v>11</v>
      </c>
      <c r="C2" s="3" t="s">
        <v>0</v>
      </c>
      <c r="D2" s="3" t="s">
        <v>16</v>
      </c>
      <c r="E2" s="3" t="s">
        <v>15</v>
      </c>
      <c r="F2" s="2" t="s">
        <v>14</v>
      </c>
      <c r="G2" s="2" t="s">
        <v>13</v>
      </c>
      <c r="H2" s="9" t="s">
        <v>24</v>
      </c>
      <c r="I2" s="9" t="s">
        <v>8</v>
      </c>
      <c r="J2" s="3" t="s">
        <v>7</v>
      </c>
      <c r="K2" s="3" t="s">
        <v>6</v>
      </c>
      <c r="L2" s="3" t="s">
        <v>25</v>
      </c>
    </row>
    <row r="3" spans="1:12" x14ac:dyDescent="0.25">
      <c r="A3" s="1">
        <v>95</v>
      </c>
      <c r="B3" s="1">
        <v>418</v>
      </c>
      <c r="C3" s="1">
        <v>43</v>
      </c>
      <c r="D3" s="1">
        <v>2500</v>
      </c>
      <c r="E3" s="1">
        <v>4000</v>
      </c>
      <c r="F3" s="4">
        <v>3.5000000000000003E-2</v>
      </c>
      <c r="G3" s="4">
        <v>4.4999999999999998E-2</v>
      </c>
      <c r="H3" s="5">
        <f xml:space="preserve"> 0.001/2</f>
        <v>5.0000000000000001E-4</v>
      </c>
      <c r="I3" s="4">
        <f xml:space="preserve"> 0.001</f>
        <v>1E-3</v>
      </c>
      <c r="J3" s="1">
        <v>10</v>
      </c>
      <c r="K3" s="1">
        <v>4</v>
      </c>
      <c r="L3" s="16" t="s">
        <v>32</v>
      </c>
    </row>
    <row r="5" spans="1:12" ht="29.25" customHeight="1" x14ac:dyDescent="0.25">
      <c r="A5" s="29" t="s">
        <v>22</v>
      </c>
      <c r="B5" s="29"/>
      <c r="C5" s="29"/>
      <c r="D5" s="29"/>
      <c r="E5" s="29"/>
      <c r="F5" s="29"/>
      <c r="G5" s="29"/>
      <c r="H5" s="29"/>
      <c r="I5" s="29"/>
      <c r="J5" s="29"/>
      <c r="K5" s="29"/>
    </row>
    <row r="6" spans="1:12" ht="64.5" customHeight="1" x14ac:dyDescent="0.25">
      <c r="A6" s="2"/>
      <c r="B6" s="3"/>
      <c r="F6" s="21" t="s">
        <v>31</v>
      </c>
      <c r="G6" s="22" t="s">
        <v>3</v>
      </c>
    </row>
    <row r="7" spans="1:12" x14ac:dyDescent="0.25">
      <c r="A7" s="6"/>
      <c r="B7" s="1"/>
      <c r="F7" s="23">
        <v>1.0999999999999999E-2</v>
      </c>
      <c r="G7" s="24">
        <v>1430</v>
      </c>
    </row>
    <row r="8" spans="1:12" hidden="1" x14ac:dyDescent="0.25">
      <c r="A8" s="1"/>
      <c r="B8" s="1"/>
      <c r="C8" s="1"/>
      <c r="D8" s="1"/>
      <c r="E8" s="1"/>
      <c r="F8" s="4"/>
      <c r="G8" s="4"/>
      <c r="H8" s="5"/>
      <c r="I8" s="4"/>
      <c r="J8" s="1"/>
      <c r="K8" s="1"/>
    </row>
    <row r="9" spans="1:12" ht="30" customHeight="1" x14ac:dyDescent="0.25">
      <c r="A9" s="29" t="s">
        <v>23</v>
      </c>
      <c r="B9" s="29"/>
      <c r="C9" s="29"/>
      <c r="D9" s="29"/>
      <c r="E9" s="29"/>
      <c r="F9" s="11"/>
      <c r="G9" s="29" t="s">
        <v>9</v>
      </c>
      <c r="H9" s="29"/>
      <c r="I9" s="29"/>
      <c r="J9" s="29"/>
      <c r="K9" s="29"/>
    </row>
    <row r="10" spans="1:12" ht="76.5" customHeight="1" x14ac:dyDescent="0.25">
      <c r="A10" s="17" t="s">
        <v>4</v>
      </c>
      <c r="B10" s="17" t="s">
        <v>5</v>
      </c>
      <c r="C10" s="18" t="s">
        <v>1</v>
      </c>
      <c r="D10" s="13" t="s">
        <v>17</v>
      </c>
      <c r="E10" s="15" t="s">
        <v>18</v>
      </c>
      <c r="F10" s="3"/>
      <c r="G10" s="2" t="s">
        <v>19</v>
      </c>
      <c r="H10" s="7" t="s">
        <v>28</v>
      </c>
      <c r="I10" s="15" t="s">
        <v>20</v>
      </c>
      <c r="J10" s="7" t="s">
        <v>21</v>
      </c>
    </row>
    <row r="11" spans="1:12" x14ac:dyDescent="0.25">
      <c r="A11" s="19">
        <v>35</v>
      </c>
      <c r="B11" s="19">
        <v>160</v>
      </c>
      <c r="C11" s="20">
        <v>800</v>
      </c>
      <c r="D11" s="1">
        <v>3500</v>
      </c>
      <c r="E11" s="1" t="s">
        <v>27</v>
      </c>
      <c r="F11" s="1"/>
      <c r="G11" s="1"/>
      <c r="H11" s="1"/>
      <c r="I11" s="1"/>
      <c r="J11" s="1"/>
    </row>
    <row r="12" spans="1:12" ht="23.25" customHeight="1" x14ac:dyDescent="0.25">
      <c r="A12" s="30" t="s">
        <v>10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2" ht="68.25" customHeight="1" x14ac:dyDescent="0.25">
      <c r="A13" s="2"/>
      <c r="B13" s="7"/>
      <c r="C13" s="1"/>
      <c r="D13" s="1"/>
      <c r="F13" s="25" t="s">
        <v>30</v>
      </c>
      <c r="G13" s="25" t="s">
        <v>26</v>
      </c>
      <c r="H13" s="26" t="s">
        <v>12</v>
      </c>
      <c r="I13" s="10"/>
      <c r="J13" s="1"/>
      <c r="K13" s="1"/>
    </row>
    <row r="14" spans="1:12" x14ac:dyDescent="0.25">
      <c r="A14" s="1"/>
      <c r="B14" s="1"/>
      <c r="C14" s="1"/>
      <c r="D14" s="1"/>
      <c r="E14" s="1"/>
      <c r="F14" s="27"/>
      <c r="G14" s="27"/>
      <c r="H14" s="28"/>
      <c r="I14" s="4"/>
      <c r="J14" s="1"/>
      <c r="K14" s="1"/>
    </row>
    <row r="15" spans="1:12" x14ac:dyDescent="0.25">
      <c r="A15" s="1"/>
      <c r="B15" s="1"/>
      <c r="C15" s="1"/>
      <c r="D15" s="1"/>
      <c r="E15" s="1"/>
      <c r="F15" s="4"/>
      <c r="G15" s="4"/>
      <c r="H15" s="5"/>
      <c r="I15" s="4"/>
      <c r="J15" s="1"/>
      <c r="K15" s="1"/>
    </row>
    <row r="16" spans="1:12" x14ac:dyDescent="0.25">
      <c r="A16" s="1"/>
      <c r="B16" s="1"/>
      <c r="C16" s="1"/>
      <c r="D16" s="1"/>
      <c r="E16" s="1"/>
      <c r="F16" s="4"/>
      <c r="G16" s="4"/>
      <c r="H16" s="5"/>
      <c r="I16" s="4"/>
      <c r="J16" s="1"/>
      <c r="K16" s="1"/>
    </row>
    <row r="18" spans="1:13" x14ac:dyDescent="0.25">
      <c r="A18" s="2"/>
      <c r="B18" s="12"/>
      <c r="C18" s="12"/>
      <c r="D18" s="13"/>
      <c r="E18" s="2"/>
      <c r="F18" s="3"/>
      <c r="G18" s="13"/>
      <c r="H18" s="15"/>
      <c r="J18" s="3"/>
      <c r="K18" s="2"/>
      <c r="L18" s="7"/>
      <c r="M18" s="7"/>
    </row>
    <row r="19" spans="1:13" x14ac:dyDescent="0.25">
      <c r="A19" s="2"/>
      <c r="B19" s="14"/>
      <c r="C19" s="14"/>
      <c r="D19" s="1"/>
      <c r="E19" s="6"/>
      <c r="F19" s="1"/>
      <c r="G19" s="1"/>
      <c r="H19" s="1"/>
      <c r="J19" s="1"/>
      <c r="K19" s="1"/>
      <c r="L19" s="1"/>
      <c r="M19" s="8"/>
    </row>
    <row r="25" spans="1:13" x14ac:dyDescent="0.25">
      <c r="A25" s="2"/>
      <c r="B25" s="12"/>
      <c r="C25" s="12"/>
    </row>
    <row r="26" spans="1:13" x14ac:dyDescent="0.25">
      <c r="A26" s="2"/>
      <c r="B26" s="14"/>
      <c r="C26" s="14"/>
    </row>
    <row r="28" spans="1:13" x14ac:dyDescent="0.25">
      <c r="F28" s="7"/>
    </row>
    <row r="29" spans="1:13" x14ac:dyDescent="0.25">
      <c r="I29" s="2"/>
    </row>
    <row r="30" spans="1:13" x14ac:dyDescent="0.25">
      <c r="I30" s="2"/>
    </row>
  </sheetData>
  <mergeCells count="5">
    <mergeCell ref="G9:K9"/>
    <mergeCell ref="A12:K12"/>
    <mergeCell ref="A1:K1"/>
    <mergeCell ref="A5:K5"/>
    <mergeCell ref="A9:E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2024-06-20T06:48:02Z</dcterms:modified>
</cp:coreProperties>
</file>
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4115" windowHeight="8775"/>
  </bookViews>
  <sheets>
    <sheet name="Feuil1" sheetId="2" r:id="rId1"/>
  </sheets>
  <calcPr calcId="145621"/>
</workbook>
</file>

<file path=xl/calcChain.xml><?xml version="1.0" encoding="utf-8"?>
<calcChain xmlns="http://schemas.openxmlformats.org/spreadsheetml/2006/main">
  <c r="F3" i="2" l="1"/>
  <c r="E3" i="2"/>
</calcChain>
</file>

<file path=xl/sharedStrings.xml><?xml version="1.0" encoding="utf-8"?>
<sst xmlns="http://schemas.openxmlformats.org/spreadsheetml/2006/main" count="25" uniqueCount="25">
  <si>
    <t>Masse métrique de magnésium dans le fil fourré (en g/m)</t>
  </si>
  <si>
    <t>Rendement en magnésium de l'opération (en %)</t>
  </si>
  <si>
    <t>Temps d'attente entre le traitement GS et la première/dernière coulée (en min)</t>
  </si>
  <si>
    <t>Temps d'attente entre la fin de la fusion et la première/dernière coulée (en min)</t>
  </si>
  <si>
    <t>Pourcentage de perte de magnésium par minute dans la poche  (en %)</t>
  </si>
  <si>
    <t>Informations concernant le four de coulée</t>
  </si>
  <si>
    <t>Resultats</t>
  </si>
  <si>
    <t>Masse métrique de fil fourré (en g/m)</t>
  </si>
  <si>
    <t>Paramètres du fours de fusion</t>
  </si>
  <si>
    <t>Paramètres du fours de coulée</t>
  </si>
  <si>
    <t>Pourcentage de perte de magnésium par minute dans le four de coulée (en %)</t>
  </si>
  <si>
    <t>Paramètres généraux du traitement GS</t>
  </si>
  <si>
    <t xml:space="preserve">Masse de la fonte dans  la poche  de traitement 1 (en Kg) </t>
  </si>
  <si>
    <t xml:space="preserve">Masse de la fonte dans  la poche de traitement 2 (en Kg) </t>
  </si>
  <si>
    <t xml:space="preserve">Masse de la fonte dans  la poche de traitement 3 (en Kg) </t>
  </si>
  <si>
    <t>Pourcentage de magnésium visée dans  le four de coulée (en %)</t>
  </si>
  <si>
    <t>Taux de souffre de la fonte dans les poches avant traitement GS (en %)</t>
  </si>
  <si>
    <t xml:space="preserve"> Température de la fonte dans les poches au moment du traitement  GS (en °C)</t>
  </si>
  <si>
    <t>Longueur théorique du fil fourré à utiliser (en m)</t>
  </si>
  <si>
    <t>Pourcentage de magnésium dans le four de coulée après l'ajout poche 2 (%)</t>
  </si>
  <si>
    <t>Pourcentage de magnésium dans le four de coulée après l'ajout poche 3 (%)</t>
  </si>
  <si>
    <t>Pourcentage de magnésium résiduel dans  la poche de traitement 1 (%)</t>
  </si>
  <si>
    <t>Pourcentage de magnésium résiduel dans  la poche de traitement 2 (%)</t>
  </si>
  <si>
    <t>Pourcentage de magnésium résiduel dans la poche de traitement 3 (%)</t>
  </si>
  <si>
    <t>Pourcentage de magnésium dans le four de coulée après l'ajout poche 1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</si>
</sst>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3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2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" fontId="1" fillId="0" borderId="0" xfId="0" applyNumberFormat="1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4" fontId="1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22" fontId="0" fillId="0" borderId="0" xfId="0" applyNumberFormat="1"/>
    <xf numFmtId="0" fontId="1" fillId="2" borderId="0" xfId="0" applyFont="1" applyFill="1" applyBorder="1" applyAlignment="1">
      <alignment horizontal="center" vertical="center" wrapText="1"/>
    </xf>
    <xf numFmtId="4" fontId="1" fillId="2" borderId="0" xfId="0" applyNumberFormat="1" applyFont="1" applyFill="1" applyBorder="1" applyAlignment="1">
      <alignment horizontal="center" vertical="center" wrapText="1"/>
    </xf>
    <xf numFmtId="165" fontId="1" fillId="2" borderId="0" xfId="0" applyNumberFormat="1" applyFont="1" applyFill="1" applyBorder="1" applyAlignment="1">
      <alignment horizontal="center" vertical="center" wrapText="1"/>
    </xf>
    <xf numFmtId="2" fontId="1" fillId="2" borderId="0" xfId="0" applyNumberFormat="1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0" fontId="0" fillId="3" borderId="0" xfId="0" applyFill="1"/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2" fontId="1" fillId="0" borderId="0" xfId="0" applyNumberFormat="1" applyFont="1" applyFill="1" applyBorder="1" applyAlignment="1">
      <alignment horizontal="center" vertic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12"/>
  <sheetViews>
    <sheetView tabSelected="1" workbookViewId="0">
      <selection activeCell="A10" sqref="A10:H10"/>
    </sheetView>
  </sheetViews>
  <sheetFormatPr baseColWidth="10" defaultRowHeight="15" x14ac:dyDescent="0.25"/>
  <cols>
    <col min="1" max="1" width="13.7109375" customWidth="1"/>
    <col min="2" max="2" width="14" customWidth="1"/>
    <col min="3" max="3" width="14.85546875" customWidth="1"/>
    <col min="4" max="4" width="17.5703125" customWidth="1"/>
    <col min="5" max="5" width="19" customWidth="1"/>
    <col min="6" max="6" width="17" customWidth="1"/>
    <col min="7" max="7" width="17.42578125" customWidth="1"/>
    <col min="8" max="8" width="20.140625" customWidth="1"/>
    <col min="9" max="9" width="19.42578125" customWidth="1"/>
    <col min="10" max="10" width="17.7109375" customWidth="1"/>
    <col min="11" max="11" width="18.7109375" customWidth="1"/>
    <col min="12" max="12" width="18.140625" customWidth="1"/>
  </cols>
  <sheetData>
    <row r="1" spans="1:13" ht="30" customHeight="1" x14ac:dyDescent="0.25">
      <c r="A1" s="25" t="s">
        <v>11</v>
      </c>
      <c r="B1" s="25"/>
      <c r="C1" s="25"/>
      <c r="D1" s="25"/>
      <c r="E1" s="25"/>
      <c r="F1" s="25"/>
      <c r="G1" s="25"/>
      <c r="H1" s="25"/>
      <c r="I1" s="9"/>
      <c r="J1" s="1"/>
      <c r="K1" s="1"/>
    </row>
    <row r="2" spans="1:13" ht="75" x14ac:dyDescent="0.25">
      <c r="A2" s="3" t="s">
        <v>1</v>
      </c>
      <c r="B2" s="3" t="s">
        <v>7</v>
      </c>
      <c r="C2" s="3" t="s">
        <v>0</v>
      </c>
      <c r="D2" s="2" t="s">
        <v>15</v>
      </c>
      <c r="E2" s="8" t="s">
        <v>10</v>
      </c>
      <c r="F2" s="8" t="s">
        <v>4</v>
      </c>
      <c r="G2" s="3" t="s">
        <v>3</v>
      </c>
      <c r="H2" s="3" t="s">
        <v>2</v>
      </c>
      <c r="I2" s="3"/>
    </row>
    <row r="3" spans="1:13" x14ac:dyDescent="0.25">
      <c r="A3" s="19">
        <v>95</v>
      </c>
      <c r="B3" s="19">
        <v>418</v>
      </c>
      <c r="C3" s="19">
        <v>43</v>
      </c>
      <c r="D3" s="4">
        <v>4.4999999999999998E-2</v>
      </c>
      <c r="E3" s="5">
        <f xml:space="preserve"> 0.001/2</f>
        <v>5.0000000000000001E-4</v>
      </c>
      <c r="F3" s="4">
        <f xml:space="preserve"> 0.001</f>
        <v>1E-3</v>
      </c>
      <c r="G3" s="19">
        <v>10</v>
      </c>
      <c r="H3" s="19">
        <v>4</v>
      </c>
      <c r="I3" s="13"/>
      <c r="J3" s="3"/>
      <c r="K3" s="2"/>
      <c r="L3" s="6"/>
      <c r="M3" s="6"/>
    </row>
    <row r="4" spans="1:13" ht="24" customHeight="1" x14ac:dyDescent="0.25">
      <c r="A4" s="25" t="s">
        <v>8</v>
      </c>
      <c r="B4" s="25"/>
      <c r="C4" s="25"/>
      <c r="D4" s="25"/>
      <c r="E4" s="25"/>
      <c r="F4" s="25"/>
      <c r="G4" s="25"/>
      <c r="H4" s="25"/>
      <c r="I4" s="9"/>
      <c r="J4" s="1"/>
      <c r="K4" s="1"/>
      <c r="L4" s="1"/>
      <c r="M4" s="7"/>
    </row>
    <row r="5" spans="1:13" ht="63.75" x14ac:dyDescent="0.25">
      <c r="A5" s="2"/>
      <c r="B5" s="3"/>
      <c r="D5" s="14" t="s">
        <v>16</v>
      </c>
      <c r="E5" s="15" t="s">
        <v>17</v>
      </c>
    </row>
    <row r="6" spans="1:13" x14ac:dyDescent="0.25">
      <c r="A6" s="2"/>
      <c r="B6" s="3"/>
      <c r="D6" s="16">
        <v>1.0999999999999999E-2</v>
      </c>
      <c r="E6" s="17">
        <v>1500</v>
      </c>
    </row>
    <row r="7" spans="1:13" ht="22.5" customHeight="1" x14ac:dyDescent="0.25">
      <c r="A7" s="25" t="s">
        <v>9</v>
      </c>
      <c r="B7" s="25"/>
      <c r="C7" s="25"/>
      <c r="D7" s="9"/>
      <c r="E7" s="25" t="s">
        <v>5</v>
      </c>
      <c r="F7" s="25"/>
      <c r="G7" s="25"/>
      <c r="H7" s="25"/>
      <c r="I7" s="9"/>
    </row>
    <row r="8" spans="1:13" ht="63.75" x14ac:dyDescent="0.25">
      <c r="A8" s="10" t="s">
        <v>12</v>
      </c>
      <c r="B8" s="10" t="s">
        <v>13</v>
      </c>
      <c r="C8" s="10" t="s">
        <v>14</v>
      </c>
      <c r="D8" s="10"/>
      <c r="E8" s="12" t="s">
        <v>21</v>
      </c>
      <c r="F8" s="12" t="s">
        <v>22</v>
      </c>
      <c r="G8" s="12" t="s">
        <v>23</v>
      </c>
      <c r="H8" s="12" t="s">
        <v>24</v>
      </c>
      <c r="I8" s="12" t="s">
        <v>19</v>
      </c>
      <c r="J8" s="12" t="s">
        <v>20</v>
      </c>
    </row>
    <row r="9" spans="1:13" x14ac:dyDescent="0.25">
      <c r="A9" s="19">
        <v>1250</v>
      </c>
      <c r="B9" s="23">
        <v>3000</v>
      </c>
      <c r="C9" s="23">
        <v>800</v>
      </c>
      <c r="D9" s="10"/>
      <c r="E9" s="12"/>
      <c r="F9" s="12"/>
      <c r="G9" s="12"/>
      <c r="H9" s="12"/>
      <c r="I9" s="12"/>
    </row>
    <row r="10" spans="1:13" ht="25.5" customHeight="1" x14ac:dyDescent="0.25">
      <c r="A10" s="24" t="s">
        <v>6</v>
      </c>
      <c r="B10" s="24"/>
      <c r="C10" s="24"/>
      <c r="D10" s="24"/>
      <c r="E10" s="24"/>
      <c r="F10" s="24"/>
      <c r="G10" s="24"/>
      <c r="H10" s="24"/>
      <c r="I10" s="12"/>
    </row>
    <row r="11" spans="1:13" ht="69.75" customHeight="1" x14ac:dyDescent="0.25">
      <c r="A11" s="2"/>
      <c r="B11" s="11"/>
      <c r="C11" s="11"/>
      <c r="D11" s="21"/>
      <c r="E11" s="18" t="s">
        <v>18</v>
      </c>
    </row>
    <row r="12" spans="1:13" x14ac:dyDescent="0.25">
      <c r="D12" s="22"/>
      <c r="E12" s="20"/>
    </row>
  </sheetData>
  <mergeCells count="5">
    <mergeCell ref="A10:H10"/>
    <mergeCell ref="E7:H7"/>
    <mergeCell ref="A7:C7"/>
    <mergeCell ref="A1:H1"/>
    <mergeCell ref="A4:H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CONGO Job</dc:creator>
  <cp:lastModifiedBy>CONGO Job</cp:lastModifiedBy>
  <dcterms:created xsi:type="dcterms:W3CDTF">2024-05-30T07:05:44Z</dcterms:created>
  <dcterms:modified xsi:type="dcterms:W3CDTF">2024-06-21T08:45:31Z</dcterms:modified>
</cp:coreProperties>
</file>
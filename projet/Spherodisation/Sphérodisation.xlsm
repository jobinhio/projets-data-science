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H2" i="2" l="1"/>
  <c r="E2" i="2"/>
</calcChain>
</file>

<file path=xl/sharedStrings.xml><?xml version="1.0" encoding="utf-8"?>
<sst xmlns="http://schemas.openxmlformats.org/spreadsheetml/2006/main" count="19" uniqueCount="19">
  <si>
    <t>Variables</t>
  </si>
  <si>
    <t>Valeur</t>
  </si>
  <si>
    <t>Traitement GS</t>
  </si>
  <si>
    <t xml:space="preserve">Masse de la fonte dans le four de maintien (en Kg) </t>
  </si>
  <si>
    <t>0.038</t>
  </si>
  <si>
    <t>Masse métrique de fil fourré (en g/m)</t>
  </si>
  <si>
    <t>Masse métrique de magnésium dans le fil fourré (en g/m)</t>
  </si>
  <si>
    <t xml:space="preserve">Masse de la fonte dans  la poche de traitement (en Kg) </t>
  </si>
  <si>
    <t>Pourcentage de magnésium visée dans  le four de maintien (en %)</t>
  </si>
  <si>
    <t>Pourcentage de magnésium dans le four de maintien avant ajout de la fonte traitée (%)</t>
  </si>
  <si>
    <t>Taux de souffre de la fonte dans la poche avant traitement GS (en %)</t>
  </si>
  <si>
    <t>Rendement en magnésium de l'opération (en %)</t>
  </si>
  <si>
    <t>Taux en magnésium dans le fil fourré (en %)</t>
  </si>
  <si>
    <t xml:space="preserve"> Température de la fonte dans la poche au moment du traitement  GS (en °C)</t>
  </si>
  <si>
    <t>Pourcentage de perte de magnésium par minute (en %)</t>
  </si>
  <si>
    <t>Masse des grappes (kg)</t>
  </si>
  <si>
    <t>Nombre de Moules par heure</t>
  </si>
  <si>
    <t>Longueur théorique du fil fourré (m)</t>
  </si>
  <si>
    <t>Temps d'attente entre le traitement GS et la première/dernière coulée (en 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</si>
</sst>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tabSelected="1" workbookViewId="0">
      <selection activeCell="H2" sqref="H2"/>
    </sheetView>
  </sheetViews>
  <sheetFormatPr baseColWidth="10" defaultRowHeight="15" x14ac:dyDescent="0.25"/>
  <cols>
    <col min="1" max="1" width="14.7109375" customWidth="1"/>
    <col min="3" max="3" width="11.5703125" customWidth="1"/>
    <col min="4" max="4" width="14.85546875" customWidth="1"/>
    <col min="5" max="5" width="21.5703125" customWidth="1"/>
    <col min="6" max="6" width="15.7109375" customWidth="1"/>
    <col min="7" max="7" width="13.85546875" customWidth="1"/>
    <col min="8" max="8" width="13.7109375" customWidth="1"/>
    <col min="9" max="9" width="14.7109375" customWidth="1"/>
    <col min="10" max="10" width="19.7109375" customWidth="1"/>
    <col min="11" max="11" width="9.85546875" customWidth="1"/>
    <col min="12" max="12" width="14.28515625" customWidth="1"/>
    <col min="13" max="13" width="14.42578125" customWidth="1"/>
    <col min="14" max="14" width="13.5703125" customWidth="1"/>
    <col min="15" max="16" width="11.42578125" customWidth="1"/>
    <col min="17" max="17" width="12.5703125" customWidth="1"/>
    <col min="18" max="18" width="11.5703125" customWidth="1"/>
  </cols>
  <sheetData>
    <row r="1" spans="1:18" ht="77.25" customHeight="1" x14ac:dyDescent="0.25">
      <c r="A1" s="7" t="s">
        <v>2</v>
      </c>
      <c r="B1" s="4" t="s">
        <v>0</v>
      </c>
      <c r="C1" s="6" t="s">
        <v>7</v>
      </c>
      <c r="D1" s="4" t="s">
        <v>10</v>
      </c>
      <c r="E1" s="6" t="s">
        <v>18</v>
      </c>
      <c r="F1" s="6" t="s">
        <v>13</v>
      </c>
      <c r="G1" s="6" t="s">
        <v>11</v>
      </c>
      <c r="H1" s="6" t="s">
        <v>12</v>
      </c>
      <c r="I1" s="6" t="s">
        <v>3</v>
      </c>
      <c r="J1" s="4" t="s">
        <v>9</v>
      </c>
      <c r="K1" s="6" t="s">
        <v>5</v>
      </c>
      <c r="L1" s="6" t="s">
        <v>6</v>
      </c>
      <c r="M1" s="4" t="s">
        <v>8</v>
      </c>
      <c r="N1" s="5" t="s">
        <v>14</v>
      </c>
      <c r="O1" s="5" t="s">
        <v>15</v>
      </c>
      <c r="P1" s="5" t="s">
        <v>16</v>
      </c>
      <c r="Q1" s="1"/>
      <c r="R1" s="1" t="s">
        <v>17</v>
      </c>
    </row>
    <row r="2" spans="1:18" x14ac:dyDescent="0.25">
      <c r="A2" s="7"/>
      <c r="B2" s="4" t="s">
        <v>1</v>
      </c>
      <c r="C2" s="3">
        <v>1250</v>
      </c>
      <c r="D2" s="2">
        <v>1.1000000000000001E-3</v>
      </c>
      <c r="E2" s="3">
        <f xml:space="preserve"> (4 * 60 + 30) / 60</f>
        <v>4.5</v>
      </c>
      <c r="F2" s="3">
        <v>1430</v>
      </c>
      <c r="G2" s="3">
        <v>95</v>
      </c>
      <c r="H2" s="3">
        <f>43/418*100</f>
        <v>10.287081339712918</v>
      </c>
      <c r="I2" s="3">
        <v>3000</v>
      </c>
      <c r="J2" s="2" t="s">
        <v>4</v>
      </c>
      <c r="K2" s="3">
        <v>418</v>
      </c>
      <c r="L2" s="3">
        <v>43</v>
      </c>
      <c r="M2" s="5">
        <v>4.4999999999999998E-2</v>
      </c>
      <c r="N2" s="5">
        <v>1E-3</v>
      </c>
      <c r="O2" s="5">
        <v>40</v>
      </c>
      <c r="P2" s="5">
        <v>160</v>
      </c>
      <c r="Q2" s="1"/>
      <c r="R2" s="1">
        <v>19.247441859999999</v>
      </c>
    </row>
  </sheetData>
  <mergeCells count="1">
    <mergeCell ref="A1:A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2024-06-07T11:15:25Z</dcterms:modified>
</cp:coreProperties>
</file>